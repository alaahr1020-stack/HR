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كشف التوزيع" sheetId="1" r:id="rId1"/>
    <sheet name="السند القانوني" sheetId="2" r:id="rId2"/>
  </sheets>
  <calcPr calcId="0" fullCalcOnLoad="1"/>
</workbook>
</file>

<file path=xl/styles.xml><?xml version="1.0" encoding="utf-8"?>
<styleSheet xmlns="http://schemas.openxmlformats.org/spreadsheetml/2006/main">
  <numFmts count="2">
    <numFmt numFmtId="164" formatCode="#,##0.00"/>
    <numFmt numFmtId="165" formatCode="0.000000"/>
  </numFmts>
  <fonts count="4">
    <font>
      <sz val="11"/>
      <name val="Arial"/>
    </font>
    <font>
      <b/>
      <sz val="11"/>
      <name val="Arial"/>
    </font>
    <font>
      <b/>
      <sz val="14"/>
      <name val="Arial"/>
    </font>
    <font>
      <sz val="10"/>
      <color rgb="FF666666"/>
      <name val="Arial"/>
    </font>
  </fonts>
  <fills count="4">
    <fill>
      <patternFill patternType="none"/>
    </fill>
    <fill>
      <patternFill patternType="gray125"/>
    </fill>
    <fill>
      <patternFill patternType="solid">
        <fgColor rgb="FFE7EEF8"/>
        <bgColor indexed="64"/>
      </patternFill>
    </fill>
    <fill>
      <patternFill patternType="solid">
        <fgColor rgb="FFFFF6D8"/>
        <bgColor indexed="64"/>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2" fillId="0" borderId="0" xfId="0" applyFont="1" applyAlignment="1">
      <alignment horizontal="center"/>
    </xf>
    <xf numFmtId="0" fontId="1" fillId="2" borderId="1" xfId="0" applyFont="1" applyFill="1" applyBorder="1" applyAlignment="1">
      <alignment horizontal="center" vertical="center" wrapText="1"/>
    </xf>
    <xf numFmtId="0" fontId="0" fillId="0" borderId="1" xfId="0" applyBorder="1" applyAlignment="1">
      <alignment horizontal="right" vertical="center"/>
    </xf>
    <xf numFmtId="164" fontId="0" fillId="0" borderId="1" xfId="0" applyNumberFormat="1" applyBorder="1"/>
    <xf numFmtId="164" fontId="0" fillId="3" borderId="1" xfId="0" applyNumberFormat="1" applyFill="1" applyBorder="1"/>
    <xf numFmtId="164" fontId="1" fillId="2" borderId="1" xfId="0" applyNumberFormat="1" applyFont="1" applyFill="1" applyBorder="1"/>
    <xf numFmtId="165" fontId="0" fillId="0" borderId="1" xfId="0" applyNumberFormat="1" applyBorder="1"/>
    <xf numFmtId="0" fontId="1" fillId="0" borderId="0" xfId="0" applyFont="1"/>
    <xf numFmtId="0" fontId="3"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rightToLeft="1" workbookViewId="0">
      <pane ySplit="10" topLeftCell="A11" activePane="bottomLeft" state="frozen"/>
    </sheetView>
  </sheetViews>
  <sheetFormatPr defaultRowHeight="15"/>
  <cols>
    <col min="1" max="1" width="5" customWidth="1"/>
    <col min="2" max="2" width="26" customWidth="1"/>
    <col min="3" max="3" width="20" customWidth="1"/>
    <col min="4" max="4" width="14" customWidth="1"/>
    <col min="5" max="5" width="13" customWidth="1"/>
    <col min="6" max="6" width="15" customWidth="1"/>
    <col min="7" max="7" width="16" customWidth="1"/>
    <col min="8" max="8" width="14" customWidth="1"/>
    <col min="9" max="9" width="15" customWidth="1"/>
    <col min="10" max="10" width="17" customWidth="1"/>
    <col min="11" max="11" width="15" customWidth="1"/>
  </cols>
  <sheetData>
    <row r="1">
      <c r="A1" s="1" t="inlineStr">
        <is>
          <t xml:space="preserve">كشف توزيع حصيلة مقابل الخدمة الشهري — شركة النيل للفنادق (ش.م.م) — اسم افتراضي</t>
        </is>
      </c>
    </row>
    <row r="2">
      <c r="A2" s="9" t="inlineStr">
        <is>
          <t xml:space="preserve">المستند: لائحة تنظيم العمل والجزاءات — قواعد توزيع مقابل الخدمة (الحصيلة كاملة لجميع العاملين دون شرائح)</t>
        </is>
      </c>
    </row>
    <row r="4">
      <c r="A4" s="8" t="inlineStr">
        <is>
          <t xml:space="preserve">الشهر</t>
        </is>
      </c>
      <c r="B4" s="5" t="inlineStr">
        <is>
          <t xml:space="preserve">مارس 2026</t>
        </is>
      </c>
    </row>
    <row r="5">
      <c r="A5" s="8" t="inlineStr">
        <is>
          <t xml:space="preserve">إجمالي المبيعات الخاضعة لمقابل الخدمة</t>
        </is>
      </c>
      <c r="B5" s="5">
        <v>1000000</v>
      </c>
    </row>
    <row r="6">
      <c r="A6" s="8" t="inlineStr">
        <is>
          <t xml:space="preserve">نسبة مقابل الخدمة %</t>
        </is>
      </c>
      <c r="B6" s="5">
        <v>12</v>
      </c>
    </row>
    <row r="7">
      <c r="A7" s="8" t="inlineStr">
        <is>
          <t xml:space="preserve">الحصيلة الكلية (وعاء التوزيع)</t>
        </is>
      </c>
      <c r="B7" s="6">
        <f>B5*B6/100</f>
      </c>
    </row>
    <row r="8">
      <c r="A8" s="8" t="inlineStr">
        <is>
          <t xml:space="preserve">مجموع وحدات التوزيع (الأجر الأساسي × أيام الاستحقاق)</t>
        </is>
      </c>
      <c r="B8" s="6">
        <f>SUM(F11:F15)</f>
      </c>
    </row>
    <row r="9">
      <c r="A9" s="8" t="inlineStr">
        <is>
          <t xml:space="preserve">قيمة الوحدة = الحصيلة ÷ مجموع الوحدات</t>
        </is>
      </c>
      <c r="B9" s="7">
        <f>IF(B8=0,0,B7/B8)</f>
      </c>
    </row>
    <row r="10">
      <c r="A10" s="2" t="inlineStr">
        <is>
          <t xml:space="preserve">م</t>
        </is>
      </c>
      <c r="B10" s="2" t="inlineStr">
        <is>
          <t xml:space="preserve">اسم العامل</t>
        </is>
      </c>
      <c r="C10" s="2" t="inlineStr">
        <is>
          <t xml:space="preserve">الوظيفة</t>
        </is>
      </c>
      <c r="D10" s="2" t="inlineStr">
        <is>
          <t xml:space="preserve">الأجر الأساسي</t>
        </is>
      </c>
      <c r="E10" s="2" t="inlineStr">
        <is>
          <t xml:space="preserve">أيام الاستحقاق</t>
        </is>
      </c>
      <c r="F10" s="2" t="inlineStr">
        <is>
          <t xml:space="preserve">وحدات التوزيع</t>
        </is>
      </c>
      <c r="G10" s="2" t="inlineStr">
        <is>
          <t xml:space="preserve">النصيب قبل التسوية</t>
        </is>
      </c>
      <c r="H10" s="2" t="inlineStr">
        <is>
          <t xml:space="preserve">تسوية كسور المليم</t>
        </is>
      </c>
      <c r="I10" s="2" t="inlineStr">
        <is>
          <t xml:space="preserve">النصيب المستحق</t>
        </is>
      </c>
      <c r="J10" s="2" t="inlineStr">
        <is>
          <t xml:space="preserve">استقطاعات (تأمينات/ضرائب)</t>
        </is>
      </c>
      <c r="K10" s="2" t="inlineStr">
        <is>
          <t xml:space="preserve">صافي المستحق</t>
        </is>
      </c>
    </row>
    <row r="11">
      <c r="A11" s="4">
        <v>1</v>
      </c>
      <c r="B11" s="3" t="inlineStr">
        <is>
          <t xml:space="preserve">أحمد محمد</t>
        </is>
      </c>
      <c r="C11" s="3" t="inlineStr">
        <is>
          <t xml:space="preserve">كابتن صالة</t>
        </is>
      </c>
      <c r="D11" s="5">
        <v>6000</v>
      </c>
      <c r="E11" s="5">
        <v>26</v>
      </c>
      <c r="F11" s="4">
        <f>IF(B11="",0,D11*E11)</f>
      </c>
      <c r="G11" s="4">
        <f>IF($B$8=0,0,ROUND(F11/$B$8*$B$7,2))</f>
      </c>
      <c r="H11" s="4">
        <f>IF(AND(B11&lt;&gt;"",E11=MAX($E$11:$E$15),COUNTIF($E$11:$E11,E11)=1),ROUND($B$7-SUM($G$11:$G$15),2),0)</f>
      </c>
      <c r="I11" s="4">
        <f>G11+H11</f>
      </c>
      <c r="J11" s="5">
        <v>0</v>
      </c>
      <c r="K11" s="4">
        <f>I11-J11</f>
      </c>
    </row>
    <row r="12">
      <c r="A12" s="4">
        <v>2</v>
      </c>
      <c r="B12" s="3" t="inlineStr">
        <is>
          <t xml:space="preserve">سارة علي</t>
        </is>
      </c>
      <c r="C12" s="3" t="inlineStr">
        <is>
          <t xml:space="preserve">محاسبة</t>
        </is>
      </c>
      <c r="D12" s="5">
        <v>9000</v>
      </c>
      <c r="E12" s="5">
        <v>30</v>
      </c>
      <c r="F12" s="4">
        <f>IF(B12="",0,D12*E12)</f>
      </c>
      <c r="G12" s="4">
        <f>IF($B$8=0,0,ROUND(F12/$B$8*$B$7,2))</f>
      </c>
      <c r="H12" s="4">
        <f>IF(AND(B12&lt;&gt;"",E12=MAX($E$11:$E$15),COUNTIF($E$11:$E12,E12)=1),ROUND($B$7-SUM($G$11:$G$15),2),0)</f>
      </c>
      <c r="I12" s="4">
        <f>G12+H12</f>
      </c>
      <c r="J12" s="5">
        <v>0</v>
      </c>
      <c r="K12" s="4">
        <f>I12-J12</f>
      </c>
    </row>
    <row r="13">
      <c r="A13" s="4">
        <v>3</v>
      </c>
      <c r="B13" s="3" t="inlineStr">
        <is>
          <t xml:space="preserve">محمود سيد</t>
        </is>
      </c>
      <c r="C13" s="3" t="inlineStr">
        <is>
          <t xml:space="preserve">عامل مطبخ</t>
        </is>
      </c>
      <c r="D13" s="5">
        <v>4500</v>
      </c>
      <c r="E13" s="5">
        <v>20</v>
      </c>
      <c r="F13" s="4">
        <f>IF(B13="",0,D13*E13)</f>
      </c>
      <c r="G13" s="4">
        <f>IF($B$8=0,0,ROUND(F13/$B$8*$B$7,2))</f>
      </c>
      <c r="H13" s="4">
        <f>IF(AND(B13&lt;&gt;"",E13=MAX($E$11:$E$15),COUNTIF($E$11:$E13,E13)=1),ROUND($B$7-SUM($G$11:$G$15),2),0)</f>
      </c>
      <c r="I13" s="4">
        <f>G13+H13</f>
      </c>
      <c r="J13" s="5">
        <v>0</v>
      </c>
      <c r="K13" s="4">
        <f>I13-J13</f>
      </c>
    </row>
    <row r="14">
      <c r="A14" s="4">
        <v>4</v>
      </c>
      <c r="B14" s="3" t="inlineStr">
        <is>
          <t xml:space="preserve">ياسمين حسن</t>
        </is>
      </c>
      <c r="C14" s="3" t="inlineStr">
        <is>
          <t xml:space="preserve">مضيفة</t>
        </is>
      </c>
      <c r="D14" s="5">
        <v>5200</v>
      </c>
      <c r="E14" s="5">
        <v>28</v>
      </c>
      <c r="F14" s="4">
        <f>IF(B14="",0,D14*E14)</f>
      </c>
      <c r="G14" s="4">
        <f>IF($B$8=0,0,ROUND(F14/$B$8*$B$7,2))</f>
      </c>
      <c r="H14" s="4">
        <f>IF(AND(B14&lt;&gt;"",E14=MAX($E$11:$E$15),COUNTIF($E$11:$E14,E14)=1),ROUND($B$7-SUM($G$11:$G$15),2),0)</f>
      </c>
      <c r="I14" s="4">
        <f>G14+H14</f>
      </c>
      <c r="J14" s="5">
        <v>0</v>
      </c>
      <c r="K14" s="4">
        <f>I14-J14</f>
      </c>
    </row>
    <row r="15">
      <c r="A15" s="4">
        <v>5</v>
      </c>
      <c r="B15" s="3" t="inlineStr">
        <is>
          <t xml:space="preserve">عمر خالد</t>
        </is>
      </c>
      <c r="C15" s="3" t="inlineStr">
        <is>
          <t xml:space="preserve">أمن</t>
        </is>
      </c>
      <c r="D15" s="5">
        <v>4800</v>
      </c>
      <c r="E15" s="5">
        <v>30</v>
      </c>
      <c r="F15" s="4">
        <f>IF(B15="",0,D15*E15)</f>
      </c>
      <c r="G15" s="4">
        <f>IF($B$8=0,0,ROUND(F15/$B$8*$B$7,2))</f>
      </c>
      <c r="H15" s="4">
        <f>IF(AND(B15&lt;&gt;"",E15=MAX($E$11:$E$15),COUNTIF($E$11:$E15,E15)=1),ROUND($B$7-SUM($G$11:$G$15),2),0)</f>
      </c>
      <c r="I15" s="4">
        <f>G15+H15</f>
      </c>
      <c r="J15" s="5">
        <v>0</v>
      </c>
      <c r="K15" s="4">
        <f>I15-J15</f>
      </c>
    </row>
    <row r="16">
      <c r="A16" s="6" t="inlineStr">
        <is>
          <t xml:space="preserve"/>
        </is>
      </c>
      <c r="B16" s="6" t="inlineStr">
        <is>
          <t xml:space="preserve">الإجمالي</t>
        </is>
      </c>
      <c r="C16" s="6" t="inlineStr">
        <is>
          <t xml:space="preserve"/>
        </is>
      </c>
      <c r="D16" s="6" t="inlineStr">
        <is>
          <t xml:space="preserve"/>
        </is>
      </c>
      <c r="E16" s="6">
        <f>SUM(E11:E15)</f>
      </c>
      <c r="F16" s="6">
        <f>SUM(F11:F15)</f>
      </c>
      <c r="G16" s="6">
        <f>SUM(G11:G15)</f>
      </c>
      <c r="H16" s="6">
        <f>SUM(H11:H15)</f>
      </c>
      <c r="I16" s="6">
        <f>SUM(I11:I15)</f>
      </c>
      <c r="J16" s="6">
        <f>SUM(J11:J15)</f>
      </c>
      <c r="K16" s="6">
        <f>SUM(K11:K15)</f>
      </c>
    </row>
    <row r="18">
      <c r="A18" s="8" t="inlineStr">
        <is>
          <t xml:space="preserve">فرق التوزيع (يجب أن يساوي صفرًا)</t>
        </is>
      </c>
      <c r="B18" s="4">
        <f>ROUND($B$7-I16,2)</f>
      </c>
    </row>
    <row r="20">
      <c r="A20" t="inlineStr">
        <is>
          <t xml:space="preserve">مدير الموارد البشرية: ....................</t>
        </is>
      </c>
      <c r="C20" t="inlineStr">
        <is>
          <t xml:space="preserve">المدير المالي: ....................</t>
        </is>
      </c>
      <c r="F20" t="inlineStr">
        <is>
          <t xml:space="preserve">ممثلو العاملين: ....................</t>
        </is>
      </c>
    </row>
    <row r="22">
      <c r="A22" s="9" t="inlineStr">
        <is>
          <t xml:space="preserve">الخلايا ذات الخلفية الصفراء هي خلايا الإدخال (المبيعات والنسبة والأجر والأيام والاستقطاعات)؛ وباقي الخلايا معادلات تُحدَّث تلقائيًا.</t>
        </is>
      </c>
    </row>
  </sheetData>
  <mergeCells count="2">
    <mergeCell ref="A1:K1"/>
    <mergeCell ref="A2:K2"/>
  </mergeCells>
  <pageMargins left="0.4" right="0.4" top="0.5" bottom="0.5" header="0.3" footer="0.3"/>
</worksheet>
</file>

<file path=xl/worksheets/sheet2.xml><?xml version="1.0" encoding="utf-8"?>
<worksheet xmlns="http://schemas.openxmlformats.org/spreadsheetml/2006/main">
  <sheetViews>
    <sheetView rightToLeft="1" workbookViewId="0"/>
  </sheetViews>
  <sheetFormatPr defaultRowHeight="15"/>
  <cols>
    <col min="1" max="1" width="120" customWidth="1"/>
  </cols>
  <sheetData>
    <row r="1">
      <c r="A1" s="1" t="inlineStr">
        <is>
          <t xml:space="preserve">السند القانوني وقواعد الاحتساب</t>
        </is>
      </c>
    </row>
    <row r="2">
      <c r="A2" t="inlineStr">
        <is>
          <t xml:space="preserve">1) مقابل الخدمة عنصر من عناصر أجر العامل — قانون العمل 14/2025 المادة (1) بند 4 (ح).</t>
        </is>
      </c>
    </row>
    <row r="3">
      <c r="A3" t="inlineStr">
        <is>
          <t xml:space="preserve">2) حكم المحكمة الدستورية العليا في الدعوى 166 لسنة 20 ق (الجريدة الرسمية 18 مكرر (ب) في 8/5/2024): الحصيلة كلها للعاملين — لا نسبة للمنشأة مقابل الكسر أو الفقد، ولا يُحرم العامل ذو الأجر الثابت من نصيبه.</t>
        </is>
      </c>
    </row>
    <row r="4">
      <c r="A4" t="inlineStr">
        <is>
          <t xml:space="preserve">3) استمرار العمل بالقرارات السارية لحين صدور قرارات القانون الجديد — المادة (11) من مواد إصدار القانون 14/2025.</t>
        </is>
      </c>
    </row>
    <row r="5">
      <c r="A5" t="inlineStr">
        <is>
          <t xml:space="preserve">4) إعلان الأسعار شاملة مقابل الخدمة والضريبة — قرار وزير السياحة 705/2023 المادة (13) بندا 7 و10.</t>
        </is>
      </c>
    </row>
    <row r="6">
      <c r="A6" t="inlineStr">
        <is>
          <t xml:space="preserve"/>
        </is>
      </c>
    </row>
    <row r="7">
      <c r="A7" s="8" t="inlineStr">
        <is>
          <t xml:space="preserve">قاعدة التوزيع المطبقة في هذا الكشف (اختيار المنشأة باللائحة — درجة «ج»):</t>
        </is>
      </c>
    </row>
    <row r="8">
      <c r="A8" t="inlineStr">
        <is>
          <t xml:space="preserve">• الحصيلة كاملة توزع على جميع العاملين الذين عملوا خلال الشهر، دون تمييز بين المتصلين بالعملاء وغيرهم، ودون حرمان أصحاب الأجر الثابت.</t>
        </is>
      </c>
    </row>
    <row r="9">
      <c r="A9" t="inlineStr">
        <is>
          <t xml:space="preserve">• نصيب العامل = وحدات توزيعه ÷ مجموع وحدات جميع المستحقين × الحصيلة، ووحدات العامل = أجره الأساسي × أيام استحقاقه.</t>
        </is>
      </c>
    </row>
    <row r="10">
      <c r="A10" t="inlineStr">
        <is>
          <t xml:space="preserve">• كسور المليم تضاف إلى نصيب العامل صاحب أكبر عدد من أيام الاستحقاق، بحيث توزع الحصيلة كاملة.</t>
        </is>
      </c>
    </row>
    <row r="11">
      <c r="A11" t="inlineStr">
        <is>
          <t xml:space="preserve">• أيام الاستحقاق = أيام العمل الفعلية + الأيام المدفوعة الأجر (الراحة الأسبوعية، العطلات الرسمية، الإجازة السنوية والعارضة وإجازة الوضع والحج والامتحان والإجازة الطارئة للمولود، والإيقاف بأجر كامل)، ولا تحسب أيام الغياب بغير إذن ولا الإجازات بغير أجر ولا الإجازة المرضية المعوَّضة من التأمينات، ويحسب الإيقاف بنصف أجر بنصف يوم.</t>
        </is>
      </c>
    </row>
    <row r="12">
      <c r="A12" t="inlineStr">
        <is>
          <t xml:space="preserve">• يُقتطع من نصيب العامل حصته في التأمينات والضرائب فقط (عمود الاستقطاعات)، ولا يحمَّل عليه الكسر أو الفقد أو المصروفات الإدارية أو حصة صاحب العمل التأمينية.</t>
        </is>
      </c>
    </row>
    <row r="13">
      <c r="A13" t="inlineStr">
        <is>
          <t xml:space="preserve">• لا يجوز الخصم من النصيب وفاءً لجزاء تأديبي؛ فجزاءات الخصم تحسب على الأجر الأساسي وحده.</t>
        </is>
      </c>
    </row>
    <row r="14">
      <c r="A14" t="inlineStr">
        <is>
          <t xml:space="preserve"/>
        </is>
      </c>
    </row>
    <row r="15">
      <c r="A15" s="8" t="inlineStr">
        <is>
          <t xml:space="preserve">ما هو مؤكد وما هو اجتهاد:</t>
        </is>
      </c>
    </row>
    <row r="16">
      <c r="A16" t="inlineStr">
        <is>
          <t xml:space="preserve">• مؤكد: أيلولة الحصيلة كاملة للعاملين، وعدم حرمان ذوي الأجر الثابت (نص الحكم الدستوري).</t>
        </is>
      </c>
    </row>
    <row r="17">
      <c r="A17" t="inlineStr">
        <is>
          <t xml:space="preserve">• اجتهاد للمراجعة: نسبة مقابل الخدمة نفسها، وأساس التوزيع بين العاملين (الأجر × الأيام) — فنص القرار الوزاري 125/2003 غير متاح كاملًا، ولم يحدد الحكم كيفية توزيع الحصيلة بعد إلغاء نصيب المنشأة. تعتمد هذه القاعدة بمحضر اتفاق مع ممثلي العاملين وترفق باللائحة.</t>
        </is>
      </c>
    </row>
  </sheetData>
  <pageMargins left="0.4" right="0.4" top="0.5" bottom="0.5" header="0.3" footer="0.3"/>
</worksheet>
</file>