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كشف التوزيع" sheetId="1" r:id="rId1"/>
    <sheet name="السند القانوني" sheetId="2" r:id="rId2"/>
  </sheets>
  <calcPr calcId="0" fullCalcOnLoad="1"/>
</workbook>
</file>

<file path=xl/styles.xml><?xml version="1.0" encoding="utf-8"?>
<styleSheet xmlns="http://schemas.openxmlformats.org/spreadsheetml/2006/main">
  <numFmts count="4">
    <numFmt numFmtId="164" formatCode="#,##0.00"/>
    <numFmt numFmtId="165" formatCode="0.000000"/>
    <numFmt numFmtId="166" formatCode="#,##0.00;-#,##0.00;"/>
    <numFmt numFmtId="167" formatCode="0.000000;-0.000000;"/>
  </numFmts>
  <fonts count="4">
    <font>
      <sz val="11"/>
      <name val="Arial"/>
    </font>
    <font>
      <b/>
      <sz val="11"/>
      <name val="Arial"/>
    </font>
    <font>
      <b/>
      <sz val="14"/>
      <name val="Arial"/>
    </font>
    <font>
      <sz val="10"/>
      <color rgb="FF666666"/>
      <name val="Arial"/>
    </font>
  </fonts>
  <fills count="4">
    <fill>
      <patternFill patternType="none"/>
    </fill>
    <fill>
      <patternFill patternType="gray125"/>
    </fill>
    <fill>
      <patternFill patternType="solid">
        <fgColor rgb="FFE7EEF8"/>
        <bgColor indexed="64"/>
      </patternFill>
    </fill>
    <fill>
      <patternFill patternType="solid">
        <fgColor rgb="FFFFF6D8"/>
        <bgColor indexed="64"/>
      </patternFill>
    </fill>
  </fills>
  <borders count="2">
    <border>
      <left/>
      <right/>
      <top/>
      <bottom/>
      <diagonal/>
    </border>
    <border>
      <left style="thin"/>
      <right style="thin"/>
      <top style="thin"/>
      <bottom style="thin"/>
      <diagonal/>
    </border>
  </borders>
  <cellStyleXfs count="1">
    <xf numFmtId="0" fontId="0" fillId="0" borderId="0"/>
  </cellStyleXfs>
  <cellXfs count="14">
    <xf numFmtId="0" fontId="0" fillId="0" borderId="0" xfId="0"/>
    <xf numFmtId="0" fontId="2" fillId="0" borderId="0" xfId="0" applyFont="1" applyAlignment="1">
      <alignment horizontal="center"/>
    </xf>
    <xf numFmtId="0" fontId="1" fillId="2" borderId="1" xfId="0" applyFont="1" applyFill="1" applyBorder="1" applyAlignment="1">
      <alignment horizontal="center" vertical="center" wrapText="1"/>
    </xf>
    <xf numFmtId="0" fontId="0" fillId="0" borderId="1" xfId="0" applyBorder="1" applyAlignment="1">
      <alignment horizontal="right" vertical="center"/>
    </xf>
    <xf numFmtId="164" fontId="0" fillId="0" borderId="1" xfId="0" applyNumberFormat="1" applyBorder="1"/>
    <xf numFmtId="164" fontId="0" fillId="3" borderId="1" xfId="0" applyNumberFormat="1" applyFill="1" applyBorder="1"/>
    <xf numFmtId="164" fontId="1" fillId="2" borderId="1" xfId="0" applyNumberFormat="1" applyFont="1" applyFill="1" applyBorder="1"/>
    <xf numFmtId="165" fontId="0" fillId="0" borderId="1" xfId="0" applyNumberFormat="1" applyBorder="1"/>
    <xf numFmtId="0" fontId="1" fillId="0" borderId="0" xfId="0" applyFont="1"/>
    <xf numFmtId="0" fontId="3" fillId="0" borderId="0" xfId="0" applyFont="1" applyAlignment="1">
      <alignment vertical="top" wrapText="1"/>
    </xf>
    <xf numFmtId="166" fontId="0" fillId="0" borderId="1" xfId="0" applyNumberFormat="1" applyBorder="1"/>
    <xf numFmtId="166" fontId="1" fillId="2" borderId="1" xfId="0" applyNumberFormat="1" applyFont="1" applyFill="1" applyBorder="1"/>
    <xf numFmtId="0" fontId="0" fillId="3" borderId="1" xfId="0" applyFill="1" applyBorder="1" applyAlignment="1">
      <alignment horizontal="right"/>
    </xf>
    <xf numFmtId="167" fontId="0" fillId="0" borderId="1" xfId="0" applyNumberFormat="1" applyBorder="1"/>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sheetViews>
    <sheetView rightToLeft="1" workbookViewId="0">
      <pane ySplit="14" topLeftCell="A15" activePane="bottomLeft" state="frozen"/>
    </sheetView>
  </sheetViews>
  <sheetFormatPr defaultRowHeight="15"/>
  <cols>
    <col min="1" max="1" width="5" customWidth="1"/>
    <col min="2" max="2" width="26" customWidth="1"/>
    <col min="3" max="3" width="20" customWidth="1"/>
    <col min="4" max="4" width="16" customWidth="1"/>
    <col min="5" max="5" width="15" customWidth="1"/>
    <col min="6" max="6" width="15" customWidth="1"/>
    <col min="7" max="7" width="16" customWidth="1"/>
    <col min="8" max="8" width="14" customWidth="1"/>
    <col min="9" max="9" width="18" customWidth="1"/>
    <col min="10" max="10" width="17" customWidth="1"/>
    <col min="11" max="11" width="15" customWidth="1"/>
  </cols>
  <sheetData>
    <row r="1">
      <c r="A1" s="1" t="inlineStr">
        <is>
          <t xml:space="preserve">كشف توزيع حصيلة مقابل الخدمة الشهري — شركة النيل للفنادق (ش.م.م) — اسم افتراضي</t>
        </is>
      </c>
    </row>
    <row r="2">
      <c r="A2" s="9" t="inlineStr">
        <is>
          <t xml:space="preserve">اكتب لكل عامل أجره الأساسي وعدد أيام عمله، وسيظهر نصيبه من حصيلة مقابل الخدمة تلقائيًا. الخلايا الصفراء فقط هي التي تُملأ.</t>
        </is>
      </c>
    </row>
    <row r="4">
      <c r="A4" s="8" t="inlineStr">
        <is>
          <t xml:space="preserve">الشهر</t>
        </is>
      </c>
      <c r="D4" s="12" t="inlineStr">
        <is>
          <t xml:space="preserve">مارس 2026</t>
        </is>
      </c>
    </row>
    <row r="5">
      <c r="A5" s="8" t="inlineStr">
        <is>
          <t xml:space="preserve">طريقة تحديد الحصيلة (اختر من القائمة)</t>
        </is>
      </c>
      <c r="D5" s="12" t="inlineStr">
        <is>
          <t xml:space="preserve">من إجمالي المبيعات</t>
        </is>
      </c>
      <c r="E5" s="9" t="inlineStr">
        <is>
          <t xml:space="preserve">← اختر: «من إجمالي المبيعات» أو «قيمة مقابل الخدمة مباشرة»</t>
        </is>
      </c>
    </row>
    <row r="6">
      <c r="A6" s="8" t="inlineStr">
        <is>
          <t xml:space="preserve">إجمالي المبيعات الخاضعة لمقابل الخدمة</t>
        </is>
      </c>
      <c r="D6" s="5">
        <v>1000000</v>
      </c>
      <c r="E6" s="9" t="inlineStr">
        <is>
          <t xml:space="preserve">(يُستخدم عند اختيار الطريقة الأولى)</t>
        </is>
      </c>
    </row>
    <row r="7">
      <c r="A7" s="8" t="inlineStr">
        <is>
          <t xml:space="preserve">نسبة مقابل الخدمة %</t>
        </is>
      </c>
      <c r="D7" s="5">
        <v>12</v>
      </c>
    </row>
    <row r="8">
      <c r="A8" s="8" t="inlineStr">
        <is>
          <t xml:space="preserve">قيمة مقابل الخدمة المحصلة (إدخال مباشر)</t>
        </is>
      </c>
      <c r="D8" s="5">
        <v>0</v>
      </c>
      <c r="E8" s="9" t="inlineStr">
        <is>
          <t xml:space="preserve">(يُستخدم عند اختيار الطريقة الثانية)</t>
        </is>
      </c>
    </row>
    <row r="9">
      <c r="A9" s="8" t="inlineStr">
        <is>
          <t xml:space="preserve">الحصيلة الكلية (وعاء التوزيع)</t>
        </is>
      </c>
      <c r="D9" s="11">
        <f>IF($D$5="قيمة مقابل الخدمة مباشرة",D8,ROUND(D6*D7/100,2))</f>
      </c>
    </row>
    <row r="10">
      <c r="A10" s="8" t="inlineStr">
        <is>
          <t xml:space="preserve">عدد العاملين المستحقين</t>
        </is>
      </c>
      <c r="D10" s="10">
        <f>COUNTIF(B15:B64,"?*")</f>
      </c>
    </row>
    <row r="11">
      <c r="A11" s="8" t="inlineStr">
        <is>
          <t xml:space="preserve">مجموع وحدات التوزيع (الأجر الأساسي × أيام العمل)</t>
        </is>
      </c>
      <c r="D11" s="11">
        <f>SUM(F15:F64)</f>
      </c>
    </row>
    <row r="12">
      <c r="A12" s="8" t="inlineStr">
        <is>
          <t xml:space="preserve">قيمة الوحدة = الحصيلة ÷ مجموع الوحدات</t>
        </is>
      </c>
      <c r="D12" s="13">
        <f>IF($D$11=0,0,$D$9/$D$11)</f>
      </c>
    </row>
    <row r="14">
      <c r="A14" s="2" t="inlineStr">
        <is>
          <t xml:space="preserve">م</t>
        </is>
      </c>
      <c r="B14" s="2" t="inlineStr">
        <is>
          <t xml:space="preserve">اسم العامل</t>
        </is>
      </c>
      <c r="C14" s="2" t="inlineStr">
        <is>
          <t xml:space="preserve">الوظيفة</t>
        </is>
      </c>
      <c r="D14" s="2" t="inlineStr">
        <is>
          <t xml:space="preserve">الأجر الأساسي</t>
        </is>
      </c>
      <c r="E14" s="2" t="inlineStr">
        <is>
          <t xml:space="preserve">أيام العمل (أيام الاستحقاق)</t>
        </is>
      </c>
      <c r="F14" s="2" t="inlineStr">
        <is>
          <t xml:space="preserve">وحدات التوزيع</t>
        </is>
      </c>
      <c r="G14" s="2" t="inlineStr">
        <is>
          <t xml:space="preserve">النصيب قبل التسوية</t>
        </is>
      </c>
      <c r="H14" s="2" t="inlineStr">
        <is>
          <t xml:space="preserve">تسوية كسور المليم</t>
        </is>
      </c>
      <c r="I14" s="2" t="inlineStr">
        <is>
          <t xml:space="preserve">النصيب المستحق من مقابل الخدمة</t>
        </is>
      </c>
      <c r="J14" s="2" t="inlineStr">
        <is>
          <t xml:space="preserve">استقطاعات (تأمينات/ضرائب)</t>
        </is>
      </c>
      <c r="K14" s="2" t="inlineStr">
        <is>
          <t xml:space="preserve">صافي المستحق</t>
        </is>
      </c>
    </row>
    <row r="15">
      <c r="A15" s="4">
        <v>1</v>
      </c>
      <c r="B15" s="3" t="inlineStr">
        <is>
          <t xml:space="preserve">أحمد محمد</t>
        </is>
      </c>
      <c r="C15" s="3" t="inlineStr">
        <is>
          <t xml:space="preserve">كابتن صالة</t>
        </is>
      </c>
      <c r="D15" s="5">
        <v>6000</v>
      </c>
      <c r="E15" s="5">
        <v>26</v>
      </c>
      <c r="F15" s="10">
        <f>IF(B15="",0,N(D15)*N(E15))</f>
      </c>
      <c r="G15" s="10">
        <f>IF($D$11=0,0,ROUND(F15/$D$11*$D$9,2))</f>
      </c>
      <c r="H15" s="10">
        <f>IF(AND(B15&lt;&gt;"",E15=MAX($E$15:$E$64),COUNTIF($E$15:$E15,E15)=1),ROUND($D$9-SUM($G$15:$G$64),2),0)</f>
      </c>
      <c r="I15" s="10">
        <f>G15+H15</f>
      </c>
      <c r="J15" s="5">
        <v>0</v>
      </c>
      <c r="K15" s="10">
        <f>I15-J15</f>
      </c>
    </row>
    <row r="16">
      <c r="A16" s="4">
        <v>2</v>
      </c>
      <c r="B16" s="3" t="inlineStr">
        <is>
          <t xml:space="preserve">سارة علي</t>
        </is>
      </c>
      <c r="C16" s="3" t="inlineStr">
        <is>
          <t xml:space="preserve">محاسبة</t>
        </is>
      </c>
      <c r="D16" s="5">
        <v>9000</v>
      </c>
      <c r="E16" s="5">
        <v>30</v>
      </c>
      <c r="F16" s="10">
        <f>IF(B16="",0,N(D16)*N(E16))</f>
      </c>
      <c r="G16" s="10">
        <f>IF($D$11=0,0,ROUND(F16/$D$11*$D$9,2))</f>
      </c>
      <c r="H16" s="10">
        <f>IF(AND(B16&lt;&gt;"",E16=MAX($E$15:$E$64),COUNTIF($E$15:$E16,E16)=1),ROUND($D$9-SUM($G$15:$G$64),2),0)</f>
      </c>
      <c r="I16" s="10">
        <f>G16+H16</f>
      </c>
      <c r="J16" s="5">
        <v>0</v>
      </c>
      <c r="K16" s="10">
        <f>I16-J16</f>
      </c>
    </row>
    <row r="17">
      <c r="A17" s="4">
        <v>3</v>
      </c>
      <c r="B17" s="3" t="inlineStr">
        <is>
          <t xml:space="preserve">محمود سيد</t>
        </is>
      </c>
      <c r="C17" s="3" t="inlineStr">
        <is>
          <t xml:space="preserve">عامل مطبخ</t>
        </is>
      </c>
      <c r="D17" s="5">
        <v>4500</v>
      </c>
      <c r="E17" s="5">
        <v>20</v>
      </c>
      <c r="F17" s="10">
        <f>IF(B17="",0,N(D17)*N(E17))</f>
      </c>
      <c r="G17" s="10">
        <f>IF($D$11=0,0,ROUND(F17/$D$11*$D$9,2))</f>
      </c>
      <c r="H17" s="10">
        <f>IF(AND(B17&lt;&gt;"",E17=MAX($E$15:$E$64),COUNTIF($E$15:$E17,E17)=1),ROUND($D$9-SUM($G$15:$G$64),2),0)</f>
      </c>
      <c r="I17" s="10">
        <f>G17+H17</f>
      </c>
      <c r="J17" s="5">
        <v>0</v>
      </c>
      <c r="K17" s="10">
        <f>I17-J17</f>
      </c>
    </row>
    <row r="18">
      <c r="A18" s="4">
        <v>4</v>
      </c>
      <c r="B18" s="3" t="inlineStr">
        <is>
          <t xml:space="preserve">ياسمين حسن</t>
        </is>
      </c>
      <c r="C18" s="3" t="inlineStr">
        <is>
          <t xml:space="preserve">مضيفة</t>
        </is>
      </c>
      <c r="D18" s="5">
        <v>5200</v>
      </c>
      <c r="E18" s="5">
        <v>28</v>
      </c>
      <c r="F18" s="10">
        <f>IF(B18="",0,N(D18)*N(E18))</f>
      </c>
      <c r="G18" s="10">
        <f>IF($D$11=0,0,ROUND(F18/$D$11*$D$9,2))</f>
      </c>
      <c r="H18" s="10">
        <f>IF(AND(B18&lt;&gt;"",E18=MAX($E$15:$E$64),COUNTIF($E$15:$E18,E18)=1),ROUND($D$9-SUM($G$15:$G$64),2),0)</f>
      </c>
      <c r="I18" s="10">
        <f>G18+H18</f>
      </c>
      <c r="J18" s="5">
        <v>0</v>
      </c>
      <c r="K18" s="10">
        <f>I18-J18</f>
      </c>
    </row>
    <row r="19">
      <c r="A19" s="4">
        <v>5</v>
      </c>
      <c r="B19" s="3" t="inlineStr">
        <is>
          <t xml:space="preserve">عمر خالد</t>
        </is>
      </c>
      <c r="C19" s="3" t="inlineStr">
        <is>
          <t xml:space="preserve">أمن</t>
        </is>
      </c>
      <c r="D19" s="5">
        <v>4800</v>
      </c>
      <c r="E19" s="5">
        <v>30</v>
      </c>
      <c r="F19" s="10">
        <f>IF(B19="",0,N(D19)*N(E19))</f>
      </c>
      <c r="G19" s="10">
        <f>IF($D$11=0,0,ROUND(F19/$D$11*$D$9,2))</f>
      </c>
      <c r="H19" s="10">
        <f>IF(AND(B19&lt;&gt;"",E19=MAX($E$15:$E$64),COUNTIF($E$15:$E19,E19)=1),ROUND($D$9-SUM($G$15:$G$64),2),0)</f>
      </c>
      <c r="I19" s="10">
        <f>G19+H19</f>
      </c>
      <c r="J19" s="5">
        <v>0</v>
      </c>
      <c r="K19" s="10">
        <f>I19-J19</f>
      </c>
    </row>
    <row r="20">
      <c r="A20" s="4">
        <v>6</v>
      </c>
      <c r="B20" s="3"/>
      <c r="C20" s="3"/>
      <c r="D20" s="5"/>
      <c r="E20" s="5"/>
      <c r="F20" s="10">
        <f>IF(B20="",0,N(D20)*N(E20))</f>
      </c>
      <c r="G20" s="10">
        <f>IF($D$11=0,0,ROUND(F20/$D$11*$D$9,2))</f>
      </c>
      <c r="H20" s="10">
        <f>IF(AND(B20&lt;&gt;"",E20=MAX($E$15:$E$64),COUNTIF($E$15:$E20,E20)=1),ROUND($D$9-SUM($G$15:$G$64),2),0)</f>
      </c>
      <c r="I20" s="10">
        <f>G20+H20</f>
      </c>
      <c r="J20" s="5"/>
      <c r="K20" s="10">
        <f>I20-J20</f>
      </c>
    </row>
    <row r="21">
      <c r="A21" s="4">
        <v>7</v>
      </c>
      <c r="B21" s="3"/>
      <c r="C21" s="3"/>
      <c r="D21" s="5"/>
      <c r="E21" s="5"/>
      <c r="F21" s="10">
        <f>IF(B21="",0,N(D21)*N(E21))</f>
      </c>
      <c r="G21" s="10">
        <f>IF($D$11=0,0,ROUND(F21/$D$11*$D$9,2))</f>
      </c>
      <c r="H21" s="10">
        <f>IF(AND(B21&lt;&gt;"",E21=MAX($E$15:$E$64),COUNTIF($E$15:$E21,E21)=1),ROUND($D$9-SUM($G$15:$G$64),2),0)</f>
      </c>
      <c r="I21" s="10">
        <f>G21+H21</f>
      </c>
      <c r="J21" s="5"/>
      <c r="K21" s="10">
        <f>I21-J21</f>
      </c>
    </row>
    <row r="22">
      <c r="A22" s="4">
        <v>8</v>
      </c>
      <c r="B22" s="3"/>
      <c r="C22" s="3"/>
      <c r="D22" s="5"/>
      <c r="E22" s="5"/>
      <c r="F22" s="10">
        <f>IF(B22="",0,N(D22)*N(E22))</f>
      </c>
      <c r="G22" s="10">
        <f>IF($D$11=0,0,ROUND(F22/$D$11*$D$9,2))</f>
      </c>
      <c r="H22" s="10">
        <f>IF(AND(B22&lt;&gt;"",E22=MAX($E$15:$E$64),COUNTIF($E$15:$E22,E22)=1),ROUND($D$9-SUM($G$15:$G$64),2),0)</f>
      </c>
      <c r="I22" s="10">
        <f>G22+H22</f>
      </c>
      <c r="J22" s="5"/>
      <c r="K22" s="10">
        <f>I22-J22</f>
      </c>
    </row>
    <row r="23">
      <c r="A23" s="4">
        <v>9</v>
      </c>
      <c r="B23" s="3"/>
      <c r="C23" s="3"/>
      <c r="D23" s="5"/>
      <c r="E23" s="5"/>
      <c r="F23" s="10">
        <f>IF(B23="",0,N(D23)*N(E23))</f>
      </c>
      <c r="G23" s="10">
        <f>IF($D$11=0,0,ROUND(F23/$D$11*$D$9,2))</f>
      </c>
      <c r="H23" s="10">
        <f>IF(AND(B23&lt;&gt;"",E23=MAX($E$15:$E$64),COUNTIF($E$15:$E23,E23)=1),ROUND($D$9-SUM($G$15:$G$64),2),0)</f>
      </c>
      <c r="I23" s="10">
        <f>G23+H23</f>
      </c>
      <c r="J23" s="5"/>
      <c r="K23" s="10">
        <f>I23-J23</f>
      </c>
    </row>
    <row r="24">
      <c r="A24" s="4">
        <v>10</v>
      </c>
      <c r="B24" s="3"/>
      <c r="C24" s="3"/>
      <c r="D24" s="5"/>
      <c r="E24" s="5"/>
      <c r="F24" s="10">
        <f>IF(B24="",0,N(D24)*N(E24))</f>
      </c>
      <c r="G24" s="10">
        <f>IF($D$11=0,0,ROUND(F24/$D$11*$D$9,2))</f>
      </c>
      <c r="H24" s="10">
        <f>IF(AND(B24&lt;&gt;"",E24=MAX($E$15:$E$64),COUNTIF($E$15:$E24,E24)=1),ROUND($D$9-SUM($G$15:$G$64),2),0)</f>
      </c>
      <c r="I24" s="10">
        <f>G24+H24</f>
      </c>
      <c r="J24" s="5"/>
      <c r="K24" s="10">
        <f>I24-J24</f>
      </c>
    </row>
    <row r="25">
      <c r="A25" s="4">
        <v>11</v>
      </c>
      <c r="B25" s="3"/>
      <c r="C25" s="3"/>
      <c r="D25" s="5"/>
      <c r="E25" s="5"/>
      <c r="F25" s="10">
        <f>IF(B25="",0,N(D25)*N(E25))</f>
      </c>
      <c r="G25" s="10">
        <f>IF($D$11=0,0,ROUND(F25/$D$11*$D$9,2))</f>
      </c>
      <c r="H25" s="10">
        <f>IF(AND(B25&lt;&gt;"",E25=MAX($E$15:$E$64),COUNTIF($E$15:$E25,E25)=1),ROUND($D$9-SUM($G$15:$G$64),2),0)</f>
      </c>
      <c r="I25" s="10">
        <f>G25+H25</f>
      </c>
      <c r="J25" s="5"/>
      <c r="K25" s="10">
        <f>I25-J25</f>
      </c>
    </row>
    <row r="26">
      <c r="A26" s="4">
        <v>12</v>
      </c>
      <c r="B26" s="3"/>
      <c r="C26" s="3"/>
      <c r="D26" s="5"/>
      <c r="E26" s="5"/>
      <c r="F26" s="10">
        <f>IF(B26="",0,N(D26)*N(E26))</f>
      </c>
      <c r="G26" s="10">
        <f>IF($D$11=0,0,ROUND(F26/$D$11*$D$9,2))</f>
      </c>
      <c r="H26" s="10">
        <f>IF(AND(B26&lt;&gt;"",E26=MAX($E$15:$E$64),COUNTIF($E$15:$E26,E26)=1),ROUND($D$9-SUM($G$15:$G$64),2),0)</f>
      </c>
      <c r="I26" s="10">
        <f>G26+H26</f>
      </c>
      <c r="J26" s="5"/>
      <c r="K26" s="10">
        <f>I26-J26</f>
      </c>
    </row>
    <row r="27">
      <c r="A27" s="4">
        <v>13</v>
      </c>
      <c r="B27" s="3"/>
      <c r="C27" s="3"/>
      <c r="D27" s="5"/>
      <c r="E27" s="5"/>
      <c r="F27" s="10">
        <f>IF(B27="",0,N(D27)*N(E27))</f>
      </c>
      <c r="G27" s="10">
        <f>IF($D$11=0,0,ROUND(F27/$D$11*$D$9,2))</f>
      </c>
      <c r="H27" s="10">
        <f>IF(AND(B27&lt;&gt;"",E27=MAX($E$15:$E$64),COUNTIF($E$15:$E27,E27)=1),ROUND($D$9-SUM($G$15:$G$64),2),0)</f>
      </c>
      <c r="I27" s="10">
        <f>G27+H27</f>
      </c>
      <c r="J27" s="5"/>
      <c r="K27" s="10">
        <f>I27-J27</f>
      </c>
    </row>
    <row r="28">
      <c r="A28" s="4">
        <v>14</v>
      </c>
      <c r="B28" s="3"/>
      <c r="C28" s="3"/>
      <c r="D28" s="5"/>
      <c r="E28" s="5"/>
      <c r="F28" s="10">
        <f>IF(B28="",0,N(D28)*N(E28))</f>
      </c>
      <c r="G28" s="10">
        <f>IF($D$11=0,0,ROUND(F28/$D$11*$D$9,2))</f>
      </c>
      <c r="H28" s="10">
        <f>IF(AND(B28&lt;&gt;"",E28=MAX($E$15:$E$64),COUNTIF($E$15:$E28,E28)=1),ROUND($D$9-SUM($G$15:$G$64),2),0)</f>
      </c>
      <c r="I28" s="10">
        <f>G28+H28</f>
      </c>
      <c r="J28" s="5"/>
      <c r="K28" s="10">
        <f>I28-J28</f>
      </c>
    </row>
    <row r="29">
      <c r="A29" s="4">
        <v>15</v>
      </c>
      <c r="B29" s="3"/>
      <c r="C29" s="3"/>
      <c r="D29" s="5"/>
      <c r="E29" s="5"/>
      <c r="F29" s="10">
        <f>IF(B29="",0,N(D29)*N(E29))</f>
      </c>
      <c r="G29" s="10">
        <f>IF($D$11=0,0,ROUND(F29/$D$11*$D$9,2))</f>
      </c>
      <c r="H29" s="10">
        <f>IF(AND(B29&lt;&gt;"",E29=MAX($E$15:$E$64),COUNTIF($E$15:$E29,E29)=1),ROUND($D$9-SUM($G$15:$G$64),2),0)</f>
      </c>
      <c r="I29" s="10">
        <f>G29+H29</f>
      </c>
      <c r="J29" s="5"/>
      <c r="K29" s="10">
        <f>I29-J29</f>
      </c>
    </row>
    <row r="30">
      <c r="A30" s="4">
        <v>16</v>
      </c>
      <c r="B30" s="3"/>
      <c r="C30" s="3"/>
      <c r="D30" s="5"/>
      <c r="E30" s="5"/>
      <c r="F30" s="10">
        <f>IF(B30="",0,N(D30)*N(E30))</f>
      </c>
      <c r="G30" s="10">
        <f>IF($D$11=0,0,ROUND(F30/$D$11*$D$9,2))</f>
      </c>
      <c r="H30" s="10">
        <f>IF(AND(B30&lt;&gt;"",E30=MAX($E$15:$E$64),COUNTIF($E$15:$E30,E30)=1),ROUND($D$9-SUM($G$15:$G$64),2),0)</f>
      </c>
      <c r="I30" s="10">
        <f>G30+H30</f>
      </c>
      <c r="J30" s="5"/>
      <c r="K30" s="10">
        <f>I30-J30</f>
      </c>
    </row>
    <row r="31">
      <c r="A31" s="4">
        <v>17</v>
      </c>
      <c r="B31" s="3"/>
      <c r="C31" s="3"/>
      <c r="D31" s="5"/>
      <c r="E31" s="5"/>
      <c r="F31" s="10">
        <f>IF(B31="",0,N(D31)*N(E31))</f>
      </c>
      <c r="G31" s="10">
        <f>IF($D$11=0,0,ROUND(F31/$D$11*$D$9,2))</f>
      </c>
      <c r="H31" s="10">
        <f>IF(AND(B31&lt;&gt;"",E31=MAX($E$15:$E$64),COUNTIF($E$15:$E31,E31)=1),ROUND($D$9-SUM($G$15:$G$64),2),0)</f>
      </c>
      <c r="I31" s="10">
        <f>G31+H31</f>
      </c>
      <c r="J31" s="5"/>
      <c r="K31" s="10">
        <f>I31-J31</f>
      </c>
    </row>
    <row r="32">
      <c r="A32" s="4">
        <v>18</v>
      </c>
      <c r="B32" s="3"/>
      <c r="C32" s="3"/>
      <c r="D32" s="5"/>
      <c r="E32" s="5"/>
      <c r="F32" s="10">
        <f>IF(B32="",0,N(D32)*N(E32))</f>
      </c>
      <c r="G32" s="10">
        <f>IF($D$11=0,0,ROUND(F32/$D$11*$D$9,2))</f>
      </c>
      <c r="H32" s="10">
        <f>IF(AND(B32&lt;&gt;"",E32=MAX($E$15:$E$64),COUNTIF($E$15:$E32,E32)=1),ROUND($D$9-SUM($G$15:$G$64),2),0)</f>
      </c>
      <c r="I32" s="10">
        <f>G32+H32</f>
      </c>
      <c r="J32" s="5"/>
      <c r="K32" s="10">
        <f>I32-J32</f>
      </c>
    </row>
    <row r="33">
      <c r="A33" s="4">
        <v>19</v>
      </c>
      <c r="B33" s="3"/>
      <c r="C33" s="3"/>
      <c r="D33" s="5"/>
      <c r="E33" s="5"/>
      <c r="F33" s="10">
        <f>IF(B33="",0,N(D33)*N(E33))</f>
      </c>
      <c r="G33" s="10">
        <f>IF($D$11=0,0,ROUND(F33/$D$11*$D$9,2))</f>
      </c>
      <c r="H33" s="10">
        <f>IF(AND(B33&lt;&gt;"",E33=MAX($E$15:$E$64),COUNTIF($E$15:$E33,E33)=1),ROUND($D$9-SUM($G$15:$G$64),2),0)</f>
      </c>
      <c r="I33" s="10">
        <f>G33+H33</f>
      </c>
      <c r="J33" s="5"/>
      <c r="K33" s="10">
        <f>I33-J33</f>
      </c>
    </row>
    <row r="34">
      <c r="A34" s="4">
        <v>20</v>
      </c>
      <c r="B34" s="3"/>
      <c r="C34" s="3"/>
      <c r="D34" s="5"/>
      <c r="E34" s="5"/>
      <c r="F34" s="10">
        <f>IF(B34="",0,N(D34)*N(E34))</f>
      </c>
      <c r="G34" s="10">
        <f>IF($D$11=0,0,ROUND(F34/$D$11*$D$9,2))</f>
      </c>
      <c r="H34" s="10">
        <f>IF(AND(B34&lt;&gt;"",E34=MAX($E$15:$E$64),COUNTIF($E$15:$E34,E34)=1),ROUND($D$9-SUM($G$15:$G$64),2),0)</f>
      </c>
      <c r="I34" s="10">
        <f>G34+H34</f>
      </c>
      <c r="J34" s="5"/>
      <c r="K34" s="10">
        <f>I34-J34</f>
      </c>
    </row>
    <row r="35">
      <c r="A35" s="4">
        <v>21</v>
      </c>
      <c r="B35" s="3"/>
      <c r="C35" s="3"/>
      <c r="D35" s="5"/>
      <c r="E35" s="5"/>
      <c r="F35" s="10">
        <f>IF(B35="",0,N(D35)*N(E35))</f>
      </c>
      <c r="G35" s="10">
        <f>IF($D$11=0,0,ROUND(F35/$D$11*$D$9,2))</f>
      </c>
      <c r="H35" s="10">
        <f>IF(AND(B35&lt;&gt;"",E35=MAX($E$15:$E$64),COUNTIF($E$15:$E35,E35)=1),ROUND($D$9-SUM($G$15:$G$64),2),0)</f>
      </c>
      <c r="I35" s="10">
        <f>G35+H35</f>
      </c>
      <c r="J35" s="5"/>
      <c r="K35" s="10">
        <f>I35-J35</f>
      </c>
    </row>
    <row r="36">
      <c r="A36" s="4">
        <v>22</v>
      </c>
      <c r="B36" s="3"/>
      <c r="C36" s="3"/>
      <c r="D36" s="5"/>
      <c r="E36" s="5"/>
      <c r="F36" s="10">
        <f>IF(B36="",0,N(D36)*N(E36))</f>
      </c>
      <c r="G36" s="10">
        <f>IF($D$11=0,0,ROUND(F36/$D$11*$D$9,2))</f>
      </c>
      <c r="H36" s="10">
        <f>IF(AND(B36&lt;&gt;"",E36=MAX($E$15:$E$64),COUNTIF($E$15:$E36,E36)=1),ROUND($D$9-SUM($G$15:$G$64),2),0)</f>
      </c>
      <c r="I36" s="10">
        <f>G36+H36</f>
      </c>
      <c r="J36" s="5"/>
      <c r="K36" s="10">
        <f>I36-J36</f>
      </c>
    </row>
    <row r="37">
      <c r="A37" s="4">
        <v>23</v>
      </c>
      <c r="B37" s="3"/>
      <c r="C37" s="3"/>
      <c r="D37" s="5"/>
      <c r="E37" s="5"/>
      <c r="F37" s="10">
        <f>IF(B37="",0,N(D37)*N(E37))</f>
      </c>
      <c r="G37" s="10">
        <f>IF($D$11=0,0,ROUND(F37/$D$11*$D$9,2))</f>
      </c>
      <c r="H37" s="10">
        <f>IF(AND(B37&lt;&gt;"",E37=MAX($E$15:$E$64),COUNTIF($E$15:$E37,E37)=1),ROUND($D$9-SUM($G$15:$G$64),2),0)</f>
      </c>
      <c r="I37" s="10">
        <f>G37+H37</f>
      </c>
      <c r="J37" s="5"/>
      <c r="K37" s="10">
        <f>I37-J37</f>
      </c>
    </row>
    <row r="38">
      <c r="A38" s="4">
        <v>24</v>
      </c>
      <c r="B38" s="3"/>
      <c r="C38" s="3"/>
      <c r="D38" s="5"/>
      <c r="E38" s="5"/>
      <c r="F38" s="10">
        <f>IF(B38="",0,N(D38)*N(E38))</f>
      </c>
      <c r="G38" s="10">
        <f>IF($D$11=0,0,ROUND(F38/$D$11*$D$9,2))</f>
      </c>
      <c r="H38" s="10">
        <f>IF(AND(B38&lt;&gt;"",E38=MAX($E$15:$E$64),COUNTIF($E$15:$E38,E38)=1),ROUND($D$9-SUM($G$15:$G$64),2),0)</f>
      </c>
      <c r="I38" s="10">
        <f>G38+H38</f>
      </c>
      <c r="J38" s="5"/>
      <c r="K38" s="10">
        <f>I38-J38</f>
      </c>
    </row>
    <row r="39">
      <c r="A39" s="4">
        <v>25</v>
      </c>
      <c r="B39" s="3"/>
      <c r="C39" s="3"/>
      <c r="D39" s="5"/>
      <c r="E39" s="5"/>
      <c r="F39" s="10">
        <f>IF(B39="",0,N(D39)*N(E39))</f>
      </c>
      <c r="G39" s="10">
        <f>IF($D$11=0,0,ROUND(F39/$D$11*$D$9,2))</f>
      </c>
      <c r="H39" s="10">
        <f>IF(AND(B39&lt;&gt;"",E39=MAX($E$15:$E$64),COUNTIF($E$15:$E39,E39)=1),ROUND($D$9-SUM($G$15:$G$64),2),0)</f>
      </c>
      <c r="I39" s="10">
        <f>G39+H39</f>
      </c>
      <c r="J39" s="5"/>
      <c r="K39" s="10">
        <f>I39-J39</f>
      </c>
    </row>
    <row r="40">
      <c r="A40" s="4">
        <v>26</v>
      </c>
      <c r="B40" s="3"/>
      <c r="C40" s="3"/>
      <c r="D40" s="5"/>
      <c r="E40" s="5"/>
      <c r="F40" s="10">
        <f>IF(B40="",0,N(D40)*N(E40))</f>
      </c>
      <c r="G40" s="10">
        <f>IF($D$11=0,0,ROUND(F40/$D$11*$D$9,2))</f>
      </c>
      <c r="H40" s="10">
        <f>IF(AND(B40&lt;&gt;"",E40=MAX($E$15:$E$64),COUNTIF($E$15:$E40,E40)=1),ROUND($D$9-SUM($G$15:$G$64),2),0)</f>
      </c>
      <c r="I40" s="10">
        <f>G40+H40</f>
      </c>
      <c r="J40" s="5"/>
      <c r="K40" s="10">
        <f>I40-J40</f>
      </c>
    </row>
    <row r="41">
      <c r="A41" s="4">
        <v>27</v>
      </c>
      <c r="B41" s="3"/>
      <c r="C41" s="3"/>
      <c r="D41" s="5"/>
      <c r="E41" s="5"/>
      <c r="F41" s="10">
        <f>IF(B41="",0,N(D41)*N(E41))</f>
      </c>
      <c r="G41" s="10">
        <f>IF($D$11=0,0,ROUND(F41/$D$11*$D$9,2))</f>
      </c>
      <c r="H41" s="10">
        <f>IF(AND(B41&lt;&gt;"",E41=MAX($E$15:$E$64),COUNTIF($E$15:$E41,E41)=1),ROUND($D$9-SUM($G$15:$G$64),2),0)</f>
      </c>
      <c r="I41" s="10">
        <f>G41+H41</f>
      </c>
      <c r="J41" s="5"/>
      <c r="K41" s="10">
        <f>I41-J41</f>
      </c>
    </row>
    <row r="42">
      <c r="A42" s="4">
        <v>28</v>
      </c>
      <c r="B42" s="3"/>
      <c r="C42" s="3"/>
      <c r="D42" s="5"/>
      <c r="E42" s="5"/>
      <c r="F42" s="10">
        <f>IF(B42="",0,N(D42)*N(E42))</f>
      </c>
      <c r="G42" s="10">
        <f>IF($D$11=0,0,ROUND(F42/$D$11*$D$9,2))</f>
      </c>
      <c r="H42" s="10">
        <f>IF(AND(B42&lt;&gt;"",E42=MAX($E$15:$E$64),COUNTIF($E$15:$E42,E42)=1),ROUND($D$9-SUM($G$15:$G$64),2),0)</f>
      </c>
      <c r="I42" s="10">
        <f>G42+H42</f>
      </c>
      <c r="J42" s="5"/>
      <c r="K42" s="10">
        <f>I42-J42</f>
      </c>
    </row>
    <row r="43">
      <c r="A43" s="4">
        <v>29</v>
      </c>
      <c r="B43" s="3"/>
      <c r="C43" s="3"/>
      <c r="D43" s="5"/>
      <c r="E43" s="5"/>
      <c r="F43" s="10">
        <f>IF(B43="",0,N(D43)*N(E43))</f>
      </c>
      <c r="G43" s="10">
        <f>IF($D$11=0,0,ROUND(F43/$D$11*$D$9,2))</f>
      </c>
      <c r="H43" s="10">
        <f>IF(AND(B43&lt;&gt;"",E43=MAX($E$15:$E$64),COUNTIF($E$15:$E43,E43)=1),ROUND($D$9-SUM($G$15:$G$64),2),0)</f>
      </c>
      <c r="I43" s="10">
        <f>G43+H43</f>
      </c>
      <c r="J43" s="5"/>
      <c r="K43" s="10">
        <f>I43-J43</f>
      </c>
    </row>
    <row r="44">
      <c r="A44" s="4">
        <v>30</v>
      </c>
      <c r="B44" s="3"/>
      <c r="C44" s="3"/>
      <c r="D44" s="5"/>
      <c r="E44" s="5"/>
      <c r="F44" s="10">
        <f>IF(B44="",0,N(D44)*N(E44))</f>
      </c>
      <c r="G44" s="10">
        <f>IF($D$11=0,0,ROUND(F44/$D$11*$D$9,2))</f>
      </c>
      <c r="H44" s="10">
        <f>IF(AND(B44&lt;&gt;"",E44=MAX($E$15:$E$64),COUNTIF($E$15:$E44,E44)=1),ROUND($D$9-SUM($G$15:$G$64),2),0)</f>
      </c>
      <c r="I44" s="10">
        <f>G44+H44</f>
      </c>
      <c r="J44" s="5"/>
      <c r="K44" s="10">
        <f>I44-J44</f>
      </c>
    </row>
    <row r="45">
      <c r="A45" s="4">
        <v>31</v>
      </c>
      <c r="B45" s="3"/>
      <c r="C45" s="3"/>
      <c r="D45" s="5"/>
      <c r="E45" s="5"/>
      <c r="F45" s="10">
        <f>IF(B45="",0,N(D45)*N(E45))</f>
      </c>
      <c r="G45" s="10">
        <f>IF($D$11=0,0,ROUND(F45/$D$11*$D$9,2))</f>
      </c>
      <c r="H45" s="10">
        <f>IF(AND(B45&lt;&gt;"",E45=MAX($E$15:$E$64),COUNTIF($E$15:$E45,E45)=1),ROUND($D$9-SUM($G$15:$G$64),2),0)</f>
      </c>
      <c r="I45" s="10">
        <f>G45+H45</f>
      </c>
      <c r="J45" s="5"/>
      <c r="K45" s="10">
        <f>I45-J45</f>
      </c>
    </row>
    <row r="46">
      <c r="A46" s="4">
        <v>32</v>
      </c>
      <c r="B46" s="3"/>
      <c r="C46" s="3"/>
      <c r="D46" s="5"/>
      <c r="E46" s="5"/>
      <c r="F46" s="10">
        <f>IF(B46="",0,N(D46)*N(E46))</f>
      </c>
      <c r="G46" s="10">
        <f>IF($D$11=0,0,ROUND(F46/$D$11*$D$9,2))</f>
      </c>
      <c r="H46" s="10">
        <f>IF(AND(B46&lt;&gt;"",E46=MAX($E$15:$E$64),COUNTIF($E$15:$E46,E46)=1),ROUND($D$9-SUM($G$15:$G$64),2),0)</f>
      </c>
      <c r="I46" s="10">
        <f>G46+H46</f>
      </c>
      <c r="J46" s="5"/>
      <c r="K46" s="10">
        <f>I46-J46</f>
      </c>
    </row>
    <row r="47">
      <c r="A47" s="4">
        <v>33</v>
      </c>
      <c r="B47" s="3"/>
      <c r="C47" s="3"/>
      <c r="D47" s="5"/>
      <c r="E47" s="5"/>
      <c r="F47" s="10">
        <f>IF(B47="",0,N(D47)*N(E47))</f>
      </c>
      <c r="G47" s="10">
        <f>IF($D$11=0,0,ROUND(F47/$D$11*$D$9,2))</f>
      </c>
      <c r="H47" s="10">
        <f>IF(AND(B47&lt;&gt;"",E47=MAX($E$15:$E$64),COUNTIF($E$15:$E47,E47)=1),ROUND($D$9-SUM($G$15:$G$64),2),0)</f>
      </c>
      <c r="I47" s="10">
        <f>G47+H47</f>
      </c>
      <c r="J47" s="5"/>
      <c r="K47" s="10">
        <f>I47-J47</f>
      </c>
    </row>
    <row r="48">
      <c r="A48" s="4">
        <v>34</v>
      </c>
      <c r="B48" s="3"/>
      <c r="C48" s="3"/>
      <c r="D48" s="5"/>
      <c r="E48" s="5"/>
      <c r="F48" s="10">
        <f>IF(B48="",0,N(D48)*N(E48))</f>
      </c>
      <c r="G48" s="10">
        <f>IF($D$11=0,0,ROUND(F48/$D$11*$D$9,2))</f>
      </c>
      <c r="H48" s="10">
        <f>IF(AND(B48&lt;&gt;"",E48=MAX($E$15:$E$64),COUNTIF($E$15:$E48,E48)=1),ROUND($D$9-SUM($G$15:$G$64),2),0)</f>
      </c>
      <c r="I48" s="10">
        <f>G48+H48</f>
      </c>
      <c r="J48" s="5"/>
      <c r="K48" s="10">
        <f>I48-J48</f>
      </c>
    </row>
    <row r="49">
      <c r="A49" s="4">
        <v>35</v>
      </c>
      <c r="B49" s="3"/>
      <c r="C49" s="3"/>
      <c r="D49" s="5"/>
      <c r="E49" s="5"/>
      <c r="F49" s="10">
        <f>IF(B49="",0,N(D49)*N(E49))</f>
      </c>
      <c r="G49" s="10">
        <f>IF($D$11=0,0,ROUND(F49/$D$11*$D$9,2))</f>
      </c>
      <c r="H49" s="10">
        <f>IF(AND(B49&lt;&gt;"",E49=MAX($E$15:$E$64),COUNTIF($E$15:$E49,E49)=1),ROUND($D$9-SUM($G$15:$G$64),2),0)</f>
      </c>
      <c r="I49" s="10">
        <f>G49+H49</f>
      </c>
      <c r="J49" s="5"/>
      <c r="K49" s="10">
        <f>I49-J49</f>
      </c>
    </row>
    <row r="50">
      <c r="A50" s="4">
        <v>36</v>
      </c>
      <c r="B50" s="3"/>
      <c r="C50" s="3"/>
      <c r="D50" s="5"/>
      <c r="E50" s="5"/>
      <c r="F50" s="10">
        <f>IF(B50="",0,N(D50)*N(E50))</f>
      </c>
      <c r="G50" s="10">
        <f>IF($D$11=0,0,ROUND(F50/$D$11*$D$9,2))</f>
      </c>
      <c r="H50" s="10">
        <f>IF(AND(B50&lt;&gt;"",E50=MAX($E$15:$E$64),COUNTIF($E$15:$E50,E50)=1),ROUND($D$9-SUM($G$15:$G$64),2),0)</f>
      </c>
      <c r="I50" s="10">
        <f>G50+H50</f>
      </c>
      <c r="J50" s="5"/>
      <c r="K50" s="10">
        <f>I50-J50</f>
      </c>
    </row>
    <row r="51">
      <c r="A51" s="4">
        <v>37</v>
      </c>
      <c r="B51" s="3"/>
      <c r="C51" s="3"/>
      <c r="D51" s="5"/>
      <c r="E51" s="5"/>
      <c r="F51" s="10">
        <f>IF(B51="",0,N(D51)*N(E51))</f>
      </c>
      <c r="G51" s="10">
        <f>IF($D$11=0,0,ROUND(F51/$D$11*$D$9,2))</f>
      </c>
      <c r="H51" s="10">
        <f>IF(AND(B51&lt;&gt;"",E51=MAX($E$15:$E$64),COUNTIF($E$15:$E51,E51)=1),ROUND($D$9-SUM($G$15:$G$64),2),0)</f>
      </c>
      <c r="I51" s="10">
        <f>G51+H51</f>
      </c>
      <c r="J51" s="5"/>
      <c r="K51" s="10">
        <f>I51-J51</f>
      </c>
    </row>
    <row r="52">
      <c r="A52" s="4">
        <v>38</v>
      </c>
      <c r="B52" s="3"/>
      <c r="C52" s="3"/>
      <c r="D52" s="5"/>
      <c r="E52" s="5"/>
      <c r="F52" s="10">
        <f>IF(B52="",0,N(D52)*N(E52))</f>
      </c>
      <c r="G52" s="10">
        <f>IF($D$11=0,0,ROUND(F52/$D$11*$D$9,2))</f>
      </c>
      <c r="H52" s="10">
        <f>IF(AND(B52&lt;&gt;"",E52=MAX($E$15:$E$64),COUNTIF($E$15:$E52,E52)=1),ROUND($D$9-SUM($G$15:$G$64),2),0)</f>
      </c>
      <c r="I52" s="10">
        <f>G52+H52</f>
      </c>
      <c r="J52" s="5"/>
      <c r="K52" s="10">
        <f>I52-J52</f>
      </c>
    </row>
    <row r="53">
      <c r="A53" s="4">
        <v>39</v>
      </c>
      <c r="B53" s="3"/>
      <c r="C53" s="3"/>
      <c r="D53" s="5"/>
      <c r="E53" s="5"/>
      <c r="F53" s="10">
        <f>IF(B53="",0,N(D53)*N(E53))</f>
      </c>
      <c r="G53" s="10">
        <f>IF($D$11=0,0,ROUND(F53/$D$11*$D$9,2))</f>
      </c>
      <c r="H53" s="10">
        <f>IF(AND(B53&lt;&gt;"",E53=MAX($E$15:$E$64),COUNTIF($E$15:$E53,E53)=1),ROUND($D$9-SUM($G$15:$G$64),2),0)</f>
      </c>
      <c r="I53" s="10">
        <f>G53+H53</f>
      </c>
      <c r="J53" s="5"/>
      <c r="K53" s="10">
        <f>I53-J53</f>
      </c>
    </row>
    <row r="54">
      <c r="A54" s="4">
        <v>40</v>
      </c>
      <c r="B54" s="3"/>
      <c r="C54" s="3"/>
      <c r="D54" s="5"/>
      <c r="E54" s="5"/>
      <c r="F54" s="10">
        <f>IF(B54="",0,N(D54)*N(E54))</f>
      </c>
      <c r="G54" s="10">
        <f>IF($D$11=0,0,ROUND(F54/$D$11*$D$9,2))</f>
      </c>
      <c r="H54" s="10">
        <f>IF(AND(B54&lt;&gt;"",E54=MAX($E$15:$E$64),COUNTIF($E$15:$E54,E54)=1),ROUND($D$9-SUM($G$15:$G$64),2),0)</f>
      </c>
      <c r="I54" s="10">
        <f>G54+H54</f>
      </c>
      <c r="J54" s="5"/>
      <c r="K54" s="10">
        <f>I54-J54</f>
      </c>
    </row>
    <row r="55">
      <c r="A55" s="4">
        <v>41</v>
      </c>
      <c r="B55" s="3"/>
      <c r="C55" s="3"/>
      <c r="D55" s="5"/>
      <c r="E55" s="5"/>
      <c r="F55" s="10">
        <f>IF(B55="",0,N(D55)*N(E55))</f>
      </c>
      <c r="G55" s="10">
        <f>IF($D$11=0,0,ROUND(F55/$D$11*$D$9,2))</f>
      </c>
      <c r="H55" s="10">
        <f>IF(AND(B55&lt;&gt;"",E55=MAX($E$15:$E$64),COUNTIF($E$15:$E55,E55)=1),ROUND($D$9-SUM($G$15:$G$64),2),0)</f>
      </c>
      <c r="I55" s="10">
        <f>G55+H55</f>
      </c>
      <c r="J55" s="5"/>
      <c r="K55" s="10">
        <f>I55-J55</f>
      </c>
    </row>
    <row r="56">
      <c r="A56" s="4">
        <v>42</v>
      </c>
      <c r="B56" s="3"/>
      <c r="C56" s="3"/>
      <c r="D56" s="5"/>
      <c r="E56" s="5"/>
      <c r="F56" s="10">
        <f>IF(B56="",0,N(D56)*N(E56))</f>
      </c>
      <c r="G56" s="10">
        <f>IF($D$11=0,0,ROUND(F56/$D$11*$D$9,2))</f>
      </c>
      <c r="H56" s="10">
        <f>IF(AND(B56&lt;&gt;"",E56=MAX($E$15:$E$64),COUNTIF($E$15:$E56,E56)=1),ROUND($D$9-SUM($G$15:$G$64),2),0)</f>
      </c>
      <c r="I56" s="10">
        <f>G56+H56</f>
      </c>
      <c r="J56" s="5"/>
      <c r="K56" s="10">
        <f>I56-J56</f>
      </c>
    </row>
    <row r="57">
      <c r="A57" s="4">
        <v>43</v>
      </c>
      <c r="B57" s="3"/>
      <c r="C57" s="3"/>
      <c r="D57" s="5"/>
      <c r="E57" s="5"/>
      <c r="F57" s="10">
        <f>IF(B57="",0,N(D57)*N(E57))</f>
      </c>
      <c r="G57" s="10">
        <f>IF($D$11=0,0,ROUND(F57/$D$11*$D$9,2))</f>
      </c>
      <c r="H57" s="10">
        <f>IF(AND(B57&lt;&gt;"",E57=MAX($E$15:$E$64),COUNTIF($E$15:$E57,E57)=1),ROUND($D$9-SUM($G$15:$G$64),2),0)</f>
      </c>
      <c r="I57" s="10">
        <f>G57+H57</f>
      </c>
      <c r="J57" s="5"/>
      <c r="K57" s="10">
        <f>I57-J57</f>
      </c>
    </row>
    <row r="58">
      <c r="A58" s="4">
        <v>44</v>
      </c>
      <c r="B58" s="3"/>
      <c r="C58" s="3"/>
      <c r="D58" s="5"/>
      <c r="E58" s="5"/>
      <c r="F58" s="10">
        <f>IF(B58="",0,N(D58)*N(E58))</f>
      </c>
      <c r="G58" s="10">
        <f>IF($D$11=0,0,ROUND(F58/$D$11*$D$9,2))</f>
      </c>
      <c r="H58" s="10">
        <f>IF(AND(B58&lt;&gt;"",E58=MAX($E$15:$E$64),COUNTIF($E$15:$E58,E58)=1),ROUND($D$9-SUM($G$15:$G$64),2),0)</f>
      </c>
      <c r="I58" s="10">
        <f>G58+H58</f>
      </c>
      <c r="J58" s="5"/>
      <c r="K58" s="10">
        <f>I58-J58</f>
      </c>
    </row>
    <row r="59">
      <c r="A59" s="4">
        <v>45</v>
      </c>
      <c r="B59" s="3"/>
      <c r="C59" s="3"/>
      <c r="D59" s="5"/>
      <c r="E59" s="5"/>
      <c r="F59" s="10">
        <f>IF(B59="",0,N(D59)*N(E59))</f>
      </c>
      <c r="G59" s="10">
        <f>IF($D$11=0,0,ROUND(F59/$D$11*$D$9,2))</f>
      </c>
      <c r="H59" s="10">
        <f>IF(AND(B59&lt;&gt;"",E59=MAX($E$15:$E$64),COUNTIF($E$15:$E59,E59)=1),ROUND($D$9-SUM($G$15:$G$64),2),0)</f>
      </c>
      <c r="I59" s="10">
        <f>G59+H59</f>
      </c>
      <c r="J59" s="5"/>
      <c r="K59" s="10">
        <f>I59-J59</f>
      </c>
    </row>
    <row r="60">
      <c r="A60" s="4">
        <v>46</v>
      </c>
      <c r="B60" s="3"/>
      <c r="C60" s="3"/>
      <c r="D60" s="5"/>
      <c r="E60" s="5"/>
      <c r="F60" s="10">
        <f>IF(B60="",0,N(D60)*N(E60))</f>
      </c>
      <c r="G60" s="10">
        <f>IF($D$11=0,0,ROUND(F60/$D$11*$D$9,2))</f>
      </c>
      <c r="H60" s="10">
        <f>IF(AND(B60&lt;&gt;"",E60=MAX($E$15:$E$64),COUNTIF($E$15:$E60,E60)=1),ROUND($D$9-SUM($G$15:$G$64),2),0)</f>
      </c>
      <c r="I60" s="10">
        <f>G60+H60</f>
      </c>
      <c r="J60" s="5"/>
      <c r="K60" s="10">
        <f>I60-J60</f>
      </c>
    </row>
    <row r="61">
      <c r="A61" s="4">
        <v>47</v>
      </c>
      <c r="B61" s="3"/>
      <c r="C61" s="3"/>
      <c r="D61" s="5"/>
      <c r="E61" s="5"/>
      <c r="F61" s="10">
        <f>IF(B61="",0,N(D61)*N(E61))</f>
      </c>
      <c r="G61" s="10">
        <f>IF($D$11=0,0,ROUND(F61/$D$11*$D$9,2))</f>
      </c>
      <c r="H61" s="10">
        <f>IF(AND(B61&lt;&gt;"",E61=MAX($E$15:$E$64),COUNTIF($E$15:$E61,E61)=1),ROUND($D$9-SUM($G$15:$G$64),2),0)</f>
      </c>
      <c r="I61" s="10">
        <f>G61+H61</f>
      </c>
      <c r="J61" s="5"/>
      <c r="K61" s="10">
        <f>I61-J61</f>
      </c>
    </row>
    <row r="62">
      <c r="A62" s="4">
        <v>48</v>
      </c>
      <c r="B62" s="3"/>
      <c r="C62" s="3"/>
      <c r="D62" s="5"/>
      <c r="E62" s="5"/>
      <c r="F62" s="10">
        <f>IF(B62="",0,N(D62)*N(E62))</f>
      </c>
      <c r="G62" s="10">
        <f>IF($D$11=0,0,ROUND(F62/$D$11*$D$9,2))</f>
      </c>
      <c r="H62" s="10">
        <f>IF(AND(B62&lt;&gt;"",E62=MAX($E$15:$E$64),COUNTIF($E$15:$E62,E62)=1),ROUND($D$9-SUM($G$15:$G$64),2),0)</f>
      </c>
      <c r="I62" s="10">
        <f>G62+H62</f>
      </c>
      <c r="J62" s="5"/>
      <c r="K62" s="10">
        <f>I62-J62</f>
      </c>
    </row>
    <row r="63">
      <c r="A63" s="4">
        <v>49</v>
      </c>
      <c r="B63" s="3"/>
      <c r="C63" s="3"/>
      <c r="D63" s="5"/>
      <c r="E63" s="5"/>
      <c r="F63" s="10">
        <f>IF(B63="",0,N(D63)*N(E63))</f>
      </c>
      <c r="G63" s="10">
        <f>IF($D$11=0,0,ROUND(F63/$D$11*$D$9,2))</f>
      </c>
      <c r="H63" s="10">
        <f>IF(AND(B63&lt;&gt;"",E63=MAX($E$15:$E$64),COUNTIF($E$15:$E63,E63)=1),ROUND($D$9-SUM($G$15:$G$64),2),0)</f>
      </c>
      <c r="I63" s="10">
        <f>G63+H63</f>
      </c>
      <c r="J63" s="5"/>
      <c r="K63" s="10">
        <f>I63-J63</f>
      </c>
    </row>
    <row r="64">
      <c r="A64" s="4">
        <v>50</v>
      </c>
      <c r="B64" s="3"/>
      <c r="C64" s="3"/>
      <c r="D64" s="5"/>
      <c r="E64" s="5"/>
      <c r="F64" s="10">
        <f>IF(B64="",0,N(D64)*N(E64))</f>
      </c>
      <c r="G64" s="10">
        <f>IF($D$11=0,0,ROUND(F64/$D$11*$D$9,2))</f>
      </c>
      <c r="H64" s="10">
        <f>IF(AND(B64&lt;&gt;"",E64=MAX($E$15:$E$64),COUNTIF($E$15:$E64,E64)=1),ROUND($D$9-SUM($G$15:$G$64),2),0)</f>
      </c>
      <c r="I64" s="10">
        <f>G64+H64</f>
      </c>
      <c r="J64" s="5"/>
      <c r="K64" s="10">
        <f>I64-J64</f>
      </c>
    </row>
    <row r="65">
      <c r="A65" s="11"/>
      <c r="B65" s="11" t="inlineStr">
        <is>
          <t xml:space="preserve">الإجمالي</t>
        </is>
      </c>
      <c r="C65" s="11"/>
      <c r="D65" s="11"/>
      <c r="E65" s="11">
        <f>SUM(E15:E64)</f>
      </c>
      <c r="F65" s="11">
        <f>SUM(F15:F64)</f>
      </c>
      <c r="G65" s="11">
        <f>SUM(G15:G64)</f>
      </c>
      <c r="H65" s="11">
        <f>SUM(H15:H64)</f>
      </c>
      <c r="I65" s="11">
        <f>SUM(I15:I64)</f>
      </c>
      <c r="J65" s="11">
        <f>SUM(J15:J64)</f>
      </c>
      <c r="K65" s="11">
        <f>SUM(K15:K64)</f>
      </c>
    </row>
    <row r="67">
      <c r="A67" s="8" t="inlineStr">
        <is>
          <t xml:space="preserve">فرق التوزيع (يجب أن يكون صفرًا بعد إدخال العاملين)</t>
        </is>
      </c>
      <c r="D67" s="10">
        <f>ROUND($D$9-I65,2)</f>
      </c>
    </row>
    <row r="69">
      <c r="A69" t="inlineStr">
        <is>
          <t xml:space="preserve">مدير الموارد البشرية: ....................</t>
        </is>
      </c>
      <c r="C69" t="inlineStr">
        <is>
          <t xml:space="preserve">المدير المالي: ....................</t>
        </is>
      </c>
      <c r="F69" t="inlineStr">
        <is>
          <t xml:space="preserve">ممثلو العاملين: ....................</t>
        </is>
      </c>
    </row>
    <row r="71">
      <c r="A71" s="9" t="inlineStr">
        <is>
          <t xml:space="preserve">الخلايا الصفراء هي خلايا الإدخال: المبيعات أو قيمة مقابل الخدمة، والنسبة، وأجر كل عامل وأيام عمله واستقطاعاته. وباقي الخلايا معادلات تُحدَّث تلقائيًا — لا تكتب فوقها. ولإضافة عاملين فوق العدد المتاح أدرج صفوفًا داخل الجدول (قبل صف الإجمالي) فتنسخ المعادلات معها.</t>
        </is>
      </c>
    </row>
  </sheetData>
  <mergeCells count="13">
    <mergeCell ref="A1:K1"/>
    <mergeCell ref="A2:K2"/>
    <mergeCell ref="A4:C4"/>
    <mergeCell ref="A5:C5"/>
    <mergeCell ref="A6:C6"/>
    <mergeCell ref="A7:C7"/>
    <mergeCell ref="A8:C8"/>
    <mergeCell ref="A9:C9"/>
    <mergeCell ref="A10:C10"/>
    <mergeCell ref="A11:C11"/>
    <mergeCell ref="A12:C12"/>
    <mergeCell ref="A67:C67"/>
    <mergeCell ref="A71:K71"/>
  </mergeCells>
  <dataValidations count="1">
    <dataValidation type="list" allowBlank="1" showInputMessage="1" showErrorMessage="1" sqref="D5">
      <formula1>"من إجمالي المبيعات,قيمة مقابل الخدمة مباشرة"</formula1>
    </dataValidation>
  </dataValidations>
  <pageMargins left="0.4" right="0.4" top="0.5" bottom="0.5" header="0.3" footer="0.3"/>
</worksheet>
</file>

<file path=xl/worksheets/sheet2.xml><?xml version="1.0" encoding="utf-8"?>
<worksheet xmlns="http://schemas.openxmlformats.org/spreadsheetml/2006/main">
  <sheetViews>
    <sheetView rightToLeft="1" workbookViewId="0"/>
  </sheetViews>
  <sheetFormatPr defaultRowHeight="15"/>
  <cols>
    <col min="1" max="1" width="120" customWidth="1"/>
  </cols>
  <sheetData>
    <row r="1">
      <c r="A1" s="1" t="inlineStr">
        <is>
          <t xml:space="preserve">السند القانوني وقواعد الاحتساب</t>
        </is>
      </c>
    </row>
    <row r="2">
      <c r="A2" t="inlineStr">
        <is>
          <t xml:space="preserve">1) مقابل الخدمة عنصر من عناصر أجر العامل — قانون العمل 14/2025 المادة (1) بند 4 (ح).</t>
        </is>
      </c>
    </row>
    <row r="3">
      <c r="A3" t="inlineStr">
        <is>
          <t xml:space="preserve">2) حكم المحكمة الدستورية العليا في الدعوى 166 لسنة 20 ق (الجريدة الرسمية 18 مكرر (ب) في 8/5/2024): الحصيلة كلها للعاملين — لا نسبة للمنشأة مقابل الكسر أو الفقد، ولا يُحرم العامل ذو الأجر الثابت من نصيبه.</t>
        </is>
      </c>
    </row>
    <row r="4">
      <c r="A4" t="inlineStr">
        <is>
          <t xml:space="preserve">3) استمرار العمل بالقرارات السارية لحين صدور قرارات القانون الجديد — المادة (11) من مواد إصدار القانون 14/2025.</t>
        </is>
      </c>
    </row>
    <row r="5">
      <c r="A5" t="inlineStr">
        <is>
          <t xml:space="preserve">4) إعلان الأسعار شاملة مقابل الخدمة والضريبة — قرار وزير السياحة 705/2023 المادة (13) بندا 7 و10.</t>
        </is>
      </c>
    </row>
    <row r="6">
      <c r="A6"/>
    </row>
    <row r="7">
      <c r="A7" s="8" t="inlineStr">
        <is>
          <t xml:space="preserve">قاعدة التوزيع المطبقة في هذا الكشف (اختيار المنشأة باللائحة — درجة «ج»):</t>
        </is>
      </c>
    </row>
    <row r="8">
      <c r="A8" t="inlineStr">
        <is>
          <t xml:space="preserve">• الحصيلة كاملة توزع على جميع العاملين الذين عملوا خلال الشهر، دون تمييز بين المتصلين بالعملاء وغيرهم، ودون حرمان أصحاب الأجر الثابت.</t>
        </is>
      </c>
    </row>
    <row r="9">
      <c r="A9" t="inlineStr">
        <is>
          <t xml:space="preserve">• نصيب العامل = وحدات توزيعه ÷ مجموع وحدات جميع المستحقين × الحصيلة، ووحدات العامل = أجره الأساسي × أيام استحقاقه.</t>
        </is>
      </c>
    </row>
    <row r="10">
      <c r="A10" t="inlineStr">
        <is>
          <t xml:space="preserve">• كسور المليم تضاف إلى نصيب العامل صاحب أكبر عدد من أيام الاستحقاق، بحيث توزع الحصيلة كاملة.</t>
        </is>
      </c>
    </row>
    <row r="11">
      <c r="A11" t="inlineStr">
        <is>
          <t xml:space="preserve">• أيام الاستحقاق = أيام العمل الفعلية + الأيام المدفوعة الأجر (الراحة الأسبوعية، العطلات الرسمية، الإجازة السنوية والعارضة وإجازة الوضع والحج والامتحان والإجازة الطارئة للمولود، والإيقاف بأجر كامل)، ولا تحسب أيام الغياب بغير إذن ولا الإجازات بغير أجر ولا الإجازة المرضية المعوَّضة من التأمينات، ويحسب الإيقاف بنصف أجر بنصف يوم.</t>
        </is>
      </c>
    </row>
    <row r="12">
      <c r="A12" t="inlineStr">
        <is>
          <t xml:space="preserve">• يُقتطع من نصيب العامل حصته في التأمينات والضرائب فقط (عمود الاستقطاعات)، ولا يحمَّل عليه الكسر أو الفقد أو المصروفات الإدارية أو حصة صاحب العمل التأمينية.</t>
        </is>
      </c>
    </row>
    <row r="13">
      <c r="A13" t="inlineStr">
        <is>
          <t xml:space="preserve">• لا يجوز الخصم من النصيب وفاءً لجزاء تأديبي؛ فجزاءات الخصم تحسب على الأجر الأساسي وحده.</t>
        </is>
      </c>
    </row>
    <row r="14">
      <c r="A14"/>
    </row>
    <row r="15">
      <c r="A15" s="8" t="inlineStr">
        <is>
          <t xml:space="preserve">ما هو مؤكد وما هو اجتهاد:</t>
        </is>
      </c>
    </row>
    <row r="16">
      <c r="A16" t="inlineStr">
        <is>
          <t xml:space="preserve">• مؤكد: أيلولة الحصيلة كاملة للعاملين، وعدم حرمان ذوي الأجر الثابت (نص الحكم الدستوري).</t>
        </is>
      </c>
    </row>
    <row r="17">
      <c r="A17" t="inlineStr">
        <is>
          <t xml:space="preserve">• اجتهاد للمراجعة: نسبة مقابل الخدمة نفسها، وأساس التوزيع بين العاملين (الأجر × الأيام) — فنص القرار الوزاري 125/2003 غير متاح كاملًا، ولم يحدد الحكم كيفية توزيع الحصيلة بعد إلغاء نصيب المنشأة. تعتمد هذه القاعدة بمحضر اتفاق مع ممثلي العاملين وترفق باللائحة.</t>
        </is>
      </c>
    </row>
  </sheetData>
  <pageMargins left="0.4" right="0.4" top="0.5" bottom="0.5" header="0.3" footer="0.3"/>
</worksheet>
</file>